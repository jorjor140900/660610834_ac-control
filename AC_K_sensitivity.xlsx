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P\OneDrive\เดสก์ท็อป\work\ac\"/>
    </mc:Choice>
  </mc:AlternateContent>
  <xr:revisionPtr revIDLastSave="0" documentId="13_ncr:1_{819773CB-EBA5-4473-BE52-8EE6B9FA1D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 Sensitivit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1" l="1"/>
  <c r="E22" i="1"/>
  <c r="B22" i="1"/>
  <c r="C22" i="1" s="1"/>
  <c r="H21" i="1"/>
  <c r="E21" i="1"/>
  <c r="B21" i="1"/>
  <c r="C21" i="1" s="1"/>
  <c r="H20" i="1"/>
  <c r="E20" i="1"/>
  <c r="B20" i="1"/>
  <c r="C20" i="1" s="1"/>
  <c r="H19" i="1"/>
  <c r="E19" i="1"/>
  <c r="B19" i="1"/>
  <c r="C19" i="1" s="1"/>
  <c r="H18" i="1"/>
  <c r="E18" i="1"/>
  <c r="B18" i="1"/>
  <c r="C18" i="1" s="1"/>
  <c r="H17" i="1"/>
  <c r="E17" i="1"/>
  <c r="B17" i="1"/>
  <c r="C17" i="1" s="1"/>
  <c r="H16" i="1"/>
  <c r="E16" i="1"/>
  <c r="B16" i="1"/>
  <c r="C16" i="1" s="1"/>
  <c r="H15" i="1"/>
  <c r="E15" i="1"/>
  <c r="B15" i="1"/>
  <c r="C15" i="1" s="1"/>
  <c r="H14" i="1"/>
  <c r="E14" i="1"/>
  <c r="B14" i="1"/>
  <c r="C14" i="1" s="1"/>
  <c r="H13" i="1"/>
  <c r="E13" i="1"/>
  <c r="B13" i="1"/>
  <c r="C13" i="1" s="1"/>
</calcChain>
</file>

<file path=xl/sharedStrings.xml><?xml version="1.0" encoding="utf-8"?>
<sst xmlns="http://schemas.openxmlformats.org/spreadsheetml/2006/main" count="17" uniqueCount="17">
  <si>
    <t>AC Room Temperature Control — Effect of Plant Gain (K) on Closed-Loop Response</t>
  </si>
  <si>
    <t>Fixed parameters</t>
  </si>
  <si>
    <t>tau (s)</t>
  </si>
  <si>
    <t>Kp</t>
  </si>
  <si>
    <t>Ki</t>
  </si>
  <si>
    <t>T_initial (deg C)</t>
  </si>
  <si>
    <t>T_target (deg C)</t>
  </si>
  <si>
    <t>K (Plant Gain)</t>
  </si>
  <si>
    <t>Natural Freq wn (rad/s)</t>
  </si>
  <si>
    <t>Damping Ratio (zeta)</t>
  </si>
  <si>
    <t>Settling Time (s)</t>
  </si>
  <si>
    <t>Settling Time (min)</t>
  </si>
  <si>
    <t>Overshoot (%)</t>
  </si>
  <si>
    <t>Final Value (deg C)</t>
  </si>
  <si>
    <t>Steady-State Error (deg C)</t>
  </si>
  <si>
    <t>Note: Settling Time and Overshoot columns are simulation results (scipy step-response), computed in Python, while Natural Frequency and Damping Ratio are live Excel formulas driven by K.</t>
  </si>
  <si>
    <r>
      <t>สรุป:</t>
    </r>
    <r>
      <rPr>
        <sz val="18"/>
        <color theme="1"/>
        <rFont val="Calibri"/>
        <family val="2"/>
        <charset val="1"/>
      </rPr>
      <t xml:space="preserve"> จากตารางและกราฟที่แสดง เมื่อเพิ่มค่า K จาก 1 ไปจนถึง 10 โดยคงค่า Kp, Ki, และ τ ไว้เท่าเดิม พบว่า ระบบตอบสนองต่อการเปลี่ยนแปลง setpoint </t>
    </r>
    <r>
      <rPr>
        <sz val="18"/>
        <color theme="1"/>
        <rFont val="Calibri"/>
        <family val="2"/>
      </rPr>
      <t xml:space="preserve">ได้เร็วขึ้นอย่างชัดเจน โดย </t>
    </r>
    <r>
      <rPr>
        <sz val="18"/>
        <color theme="1"/>
        <rFont val="Calibri"/>
        <family val="2"/>
        <charset val="1"/>
      </rPr>
      <t>Settling Time ลดลงจาก 236 วินาที (ที่ K=1) เหลือเพียง 27.5 วินาที (ที่ K=10) เพราะ Natural Frequency (ωₙ) เพิ่มขึ้นตาม K ทำให้ระบบมีความไวต่อการแก้ไข error มากขึ้น (กราฟซ้ายมือ) ในขณะเดียวกัน Damping Ratio (ζ) ก็เพิ่มขึ้นตาม K ไปด้วย (จาก 1.000 ไปเป็น 2.214) ซึ่งทำให้ระบบมีความหน่วงมากขึ้น ส่งผลให้ Overshoot ไม่ได้เพิ่มขึ้นตามสัดส่วนของ K แต่กลับมีลักษณะขึ้นไปแตะจุดสูงสุดที่ประมาณ 0.</t>
    </r>
    <r>
      <rPr>
        <sz val="18"/>
        <color theme="1"/>
        <rFont val="Calibri"/>
        <family val="2"/>
      </rPr>
      <t>80</t>
    </r>
    <r>
      <rPr>
        <sz val="18"/>
        <color theme="1"/>
        <rFont val="Calibri"/>
        <family val="2"/>
        <charset val="1"/>
      </rPr>
      <t>% (ที่ K=2) แล้วค่อย ๆ ลดลงจนเหลือ 0.42% (ที่ K=10) (กราฟขวามือ) ส่วน Steady-State Error ยังคงเป็น 0°C ตลอดทุกค่าของ K เนื่องจากตัวควบคุม PI (โดยเฉพาะ Ki) สามารถกำจัด error สะสมได้เสมอ ไม่ว่าค่า K จะมากหรือน้อยเพียงใด โดยสรุปคือ K ที่สูงขึ้นทำให้แอร์ควบคุมอุณหภูมิห้องได้ไวขึ้นโดยไม่ทำให้ระบบแกว่งหรือ overshoot รุนแรงขึ้นตามไปด้วย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</si>
</sst>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>
    <font>
      <sz val="11"/>
      <color theme="1"/>
      <name val="Calibri"/>
      <family val="2"/>
      <charset val="1"/>
    </font>
    <font>
      <b/>
      <sz val="14"/>
      <name val="Arial"/>
      <family val="2"/>
      <charset val="222"/>
    </font>
    <font>
      <sz val="14"/>
      <color theme="1"/>
      <name val="Calibri"/>
      <family val="2"/>
      <charset val="222"/>
    </font>
    <font>
      <sz val="14"/>
      <name val="Arial"/>
      <family val="2"/>
      <charset val="222"/>
    </font>
    <font>
      <sz val="14"/>
      <color rgb="FF0000FF"/>
      <name val="Arial"/>
      <family val="2"/>
      <charset val="222"/>
    </font>
    <font>
      <i/>
      <sz val="14"/>
      <color rgb="FF808080"/>
      <name val="Arial"/>
      <family val="2"/>
      <charset val="222"/>
    </font>
    <font>
      <b/>
      <sz val="14"/>
      <color rgb="FFFFFFFF"/>
      <name val="Arial"/>
      <family val="2"/>
      <charset val="222"/>
    </font>
    <font>
      <sz val="14"/>
      <color rgb="FF000000"/>
      <name val="Arial"/>
      <family val="2"/>
      <charset val="222"/>
    </font>
    <font>
      <b/>
      <sz val="18"/>
      <name val="Arial"/>
      <family val="2"/>
      <charset val="222"/>
    </font>
    <font>
      <b/>
      <sz val="18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0" fontId="7" fillId="0" borderId="1" xfId="0" applyFont="1" applyBorder="1"/>
    <xf numFmtId="2" fontId="7" fillId="0" borderId="1" xfId="0" applyNumberFormat="1" applyFont="1" applyBorder="1"/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wrapText="1"/>
    </xf>
    <xf numFmtId="0" fontId="9" fillId="0" borderId="0" xfId="0" applyFont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Settling Time vs Plant Gain (K)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62368570755556"/>
          <c:y val="0.15516000007700484"/>
          <c:w val="0.61113125281060499"/>
          <c:h val="0.64005196545304854"/>
        </c:manualLayout>
      </c:layout>
      <c:lineChart>
        <c:grouping val="standard"/>
        <c:varyColors val="0"/>
        <c:ser>
          <c:idx val="0"/>
          <c:order val="0"/>
          <c:tx>
            <c:strRef>
              <c:f>'K Sensitivity'!$D$12</c:f>
              <c:strCache>
                <c:ptCount val="1"/>
                <c:pt idx="0">
                  <c:v>Settling Time (s)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 Sensitivity'!$A$13:$A$22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'K Sensitivity'!$D$13:$D$22</c:f>
              <c:numCache>
                <c:formatCode>General</c:formatCode>
                <c:ptCount val="10"/>
                <c:pt idx="0">
                  <c:v>236</c:v>
                </c:pt>
                <c:pt idx="1">
                  <c:v>123.8</c:v>
                </c:pt>
                <c:pt idx="2">
                  <c:v>85.3</c:v>
                </c:pt>
                <c:pt idx="3">
                  <c:v>65.3</c:v>
                </c:pt>
                <c:pt idx="4">
                  <c:v>53</c:v>
                </c:pt>
                <c:pt idx="5">
                  <c:v>44.8</c:v>
                </c:pt>
                <c:pt idx="6">
                  <c:v>38.799999999999997</c:v>
                </c:pt>
                <c:pt idx="7">
                  <c:v>34</c:v>
                </c:pt>
                <c:pt idx="8">
                  <c:v>30.5</c:v>
                </c:pt>
                <c:pt idx="9">
                  <c:v>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79-46D8-A372-1BE0F3A2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726337"/>
        <c:axId val="64144692"/>
      </c:lineChart>
      <c:catAx>
        <c:axId val="427263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44692"/>
        <c:crosses val="autoZero"/>
        <c:auto val="1"/>
        <c:lblAlgn val="ctr"/>
        <c:lblOffset val="100"/>
        <c:noMultiLvlLbl val="0"/>
      </c:catAx>
      <c:valAx>
        <c:axId val="64144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Settling 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263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Overshoot (%) vs Plant Gain (K)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 Sensitivity'!$F$12</c:f>
              <c:strCache>
                <c:ptCount val="1"/>
                <c:pt idx="0">
                  <c:v>Overshoot (%)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 Sensitivity'!$A$13:$A$22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'K Sensitivity'!$F$13:$F$22</c:f>
              <c:numCache>
                <c:formatCode>General</c:formatCode>
                <c:ptCount val="10"/>
                <c:pt idx="0">
                  <c:v>0.61</c:v>
                </c:pt>
                <c:pt idx="1">
                  <c:v>0.8</c:v>
                </c:pt>
                <c:pt idx="2">
                  <c:v>0.76</c:v>
                </c:pt>
                <c:pt idx="3">
                  <c:v>0.69</c:v>
                </c:pt>
                <c:pt idx="4">
                  <c:v>0.63</c:v>
                </c:pt>
                <c:pt idx="5">
                  <c:v>0.56999999999999995</c:v>
                </c:pt>
                <c:pt idx="6">
                  <c:v>0.52</c:v>
                </c:pt>
                <c:pt idx="7">
                  <c:v>0.48</c:v>
                </c:pt>
                <c:pt idx="8">
                  <c:v>0.45</c:v>
                </c:pt>
                <c:pt idx="9">
                  <c:v>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99-4B9D-BD9C-280141597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516569"/>
        <c:axId val="23398265"/>
      </c:lineChart>
      <c:catAx>
        <c:axId val="77516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398265"/>
        <c:crosses val="autoZero"/>
        <c:auto val="1"/>
        <c:lblAlgn val="ctr"/>
        <c:lblOffset val="100"/>
        <c:noMultiLvlLbl val="0"/>
      </c:catAx>
      <c:valAx>
        <c:axId val="23398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Overshoot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16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93024</xdr:colOff>
      <xdr:row>24</xdr:row>
      <xdr:rowOff>8081</xdr:rowOff>
    </xdr:from>
    <xdr:to>
      <xdr:col>4</xdr:col>
      <xdr:colOff>591952</xdr:colOff>
      <xdr:row>37</xdr:row>
      <xdr:rowOff>143731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195942</xdr:colOff>
      <xdr:row>24</xdr:row>
      <xdr:rowOff>21771</xdr:rowOff>
    </xdr:from>
    <xdr:to>
      <xdr:col>11</xdr:col>
      <xdr:colOff>282121</xdr:colOff>
      <xdr:row>37</xdr:row>
      <xdr:rowOff>135814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8" zoomScale="80" zoomScaleNormal="80" workbookViewId="0">
      <selection activeCell="J40" sqref="J40"/>
    </sheetView>
  </sheetViews>
  <sheetFormatPr defaultColWidth="8.6640625" defaultRowHeight="18"/>
  <cols>
    <col min="1" max="2" width="20" style="2" customWidth="1"/>
    <col min="3" max="3" width="16" style="2" customWidth="1"/>
    <col min="4" max="4" width="15" style="2" customWidth="1"/>
    <col min="5" max="5" width="16" style="2" customWidth="1"/>
    <col min="6" max="6" width="14.77734375" style="2" customWidth="1"/>
    <col min="7" max="7" width="16" style="2" customWidth="1"/>
    <col min="8" max="8" width="19.44140625" style="2" customWidth="1"/>
    <col min="9" max="16384" width="8.6640625" style="2"/>
  </cols>
  <sheetData>
    <row r="1" spans="1:8" ht="22.8">
      <c r="A1" s="11" t="s">
        <v>0</v>
      </c>
      <c r="B1" s="11"/>
      <c r="C1" s="11"/>
      <c r="D1" s="11"/>
      <c r="E1" s="11"/>
      <c r="F1" s="11"/>
      <c r="G1" s="11"/>
      <c r="H1" s="11"/>
    </row>
    <row r="3" spans="1:8">
      <c r="A3" s="1" t="s">
        <v>1</v>
      </c>
    </row>
    <row r="4" spans="1:8">
      <c r="A4" s="3" t="s">
        <v>2</v>
      </c>
      <c r="B4" s="4">
        <v>150</v>
      </c>
    </row>
    <row r="5" spans="1:8">
      <c r="A5" s="3" t="s">
        <v>3</v>
      </c>
      <c r="B5" s="4">
        <v>2</v>
      </c>
    </row>
    <row r="6" spans="1:8">
      <c r="A6" s="3" t="s">
        <v>4</v>
      </c>
      <c r="B6" s="4">
        <v>1.4999999999999999E-2</v>
      </c>
    </row>
    <row r="7" spans="1:8">
      <c r="A7" s="3" t="s">
        <v>5</v>
      </c>
      <c r="B7" s="4">
        <v>25</v>
      </c>
    </row>
    <row r="8" spans="1:8">
      <c r="A8" s="3" t="s">
        <v>6</v>
      </c>
      <c r="B8" s="4">
        <v>22</v>
      </c>
    </row>
    <row r="10" spans="1:8" ht="43.8" customHeight="1">
      <c r="A10" s="12" t="s">
        <v>15</v>
      </c>
      <c r="B10" s="12"/>
      <c r="C10" s="12"/>
      <c r="D10" s="12"/>
      <c r="E10" s="12"/>
      <c r="F10" s="12"/>
      <c r="G10" s="12"/>
      <c r="H10" s="12"/>
    </row>
    <row r="12" spans="1:8" ht="64.2" customHeight="1">
      <c r="A12" s="10" t="s">
        <v>7</v>
      </c>
      <c r="B12" s="10" t="s">
        <v>8</v>
      </c>
      <c r="C12" s="10" t="s">
        <v>9</v>
      </c>
      <c r="D12" s="10" t="s">
        <v>10</v>
      </c>
      <c r="E12" s="10" t="s">
        <v>11</v>
      </c>
      <c r="F12" s="10" t="s">
        <v>12</v>
      </c>
      <c r="G12" s="10" t="s">
        <v>13</v>
      </c>
      <c r="H12" s="10" t="s">
        <v>14</v>
      </c>
    </row>
    <row r="13" spans="1:8">
      <c r="A13" s="5">
        <v>1</v>
      </c>
      <c r="B13" s="6">
        <f t="shared" ref="B13:B22" si="0">SQRT($B$6*A13/$B$4)</f>
        <v>0.01</v>
      </c>
      <c r="C13" s="7">
        <f t="shared" ref="C13:C22" si="1">(1+$B$5*A13)/(2*$B$4*B13)</f>
        <v>1</v>
      </c>
      <c r="D13" s="8">
        <v>236</v>
      </c>
      <c r="E13" s="9">
        <f t="shared" ref="E13:E22" si="2">D13/60</f>
        <v>3.9333333333333331</v>
      </c>
      <c r="F13" s="8">
        <v>0.61</v>
      </c>
      <c r="G13" s="7">
        <v>22</v>
      </c>
      <c r="H13" s="7">
        <f t="shared" ref="H13:H22" si="3">G13-$B$8</f>
        <v>0</v>
      </c>
    </row>
    <row r="14" spans="1:8">
      <c r="A14" s="5">
        <v>2</v>
      </c>
      <c r="B14" s="6">
        <f t="shared" si="0"/>
        <v>1.4142135623730951E-2</v>
      </c>
      <c r="C14" s="7">
        <f t="shared" si="1"/>
        <v>1.1785113019775793</v>
      </c>
      <c r="D14" s="8">
        <v>123.8</v>
      </c>
      <c r="E14" s="9">
        <f t="shared" si="2"/>
        <v>2.0633333333333335</v>
      </c>
      <c r="F14" s="8">
        <v>0.8</v>
      </c>
      <c r="G14" s="7">
        <v>22</v>
      </c>
      <c r="H14" s="7">
        <f t="shared" si="3"/>
        <v>0</v>
      </c>
    </row>
    <row r="15" spans="1:8">
      <c r="A15" s="5">
        <v>3</v>
      </c>
      <c r="B15" s="6">
        <f t="shared" si="0"/>
        <v>1.7320508075688773E-2</v>
      </c>
      <c r="C15" s="7">
        <f t="shared" si="1"/>
        <v>1.3471506281091268</v>
      </c>
      <c r="D15" s="8">
        <v>85.3</v>
      </c>
      <c r="E15" s="9">
        <f t="shared" si="2"/>
        <v>1.4216666666666666</v>
      </c>
      <c r="F15" s="8">
        <v>0.76</v>
      </c>
      <c r="G15" s="7">
        <v>22</v>
      </c>
      <c r="H15" s="7">
        <f t="shared" si="3"/>
        <v>0</v>
      </c>
    </row>
    <row r="16" spans="1:8">
      <c r="A16" s="5">
        <v>4</v>
      </c>
      <c r="B16" s="6">
        <f t="shared" si="0"/>
        <v>0.02</v>
      </c>
      <c r="C16" s="7">
        <f t="shared" si="1"/>
        <v>1.5</v>
      </c>
      <c r="D16" s="8">
        <v>65.3</v>
      </c>
      <c r="E16" s="9">
        <f t="shared" si="2"/>
        <v>1.0883333333333334</v>
      </c>
      <c r="F16" s="8">
        <v>0.69</v>
      </c>
      <c r="G16" s="7">
        <v>22</v>
      </c>
      <c r="H16" s="7">
        <f t="shared" si="3"/>
        <v>0</v>
      </c>
    </row>
    <row r="17" spans="1:8">
      <c r="A17" s="5">
        <v>5</v>
      </c>
      <c r="B17" s="6">
        <f t="shared" si="0"/>
        <v>2.2360679774997897E-2</v>
      </c>
      <c r="C17" s="7">
        <f t="shared" si="1"/>
        <v>1.6397831834998458</v>
      </c>
      <c r="D17" s="8">
        <v>53</v>
      </c>
      <c r="E17" s="9">
        <f t="shared" si="2"/>
        <v>0.8833333333333333</v>
      </c>
      <c r="F17" s="8">
        <v>0.63</v>
      </c>
      <c r="G17" s="7">
        <v>22</v>
      </c>
      <c r="H17" s="7">
        <f t="shared" si="3"/>
        <v>0</v>
      </c>
    </row>
    <row r="18" spans="1:8">
      <c r="A18" s="5">
        <v>6</v>
      </c>
      <c r="B18" s="6">
        <f t="shared" si="0"/>
        <v>2.4494897427831779E-2</v>
      </c>
      <c r="C18" s="7">
        <f t="shared" si="1"/>
        <v>1.7690759253434065</v>
      </c>
      <c r="D18" s="8">
        <v>44.8</v>
      </c>
      <c r="E18" s="9">
        <f t="shared" si="2"/>
        <v>0.74666666666666659</v>
      </c>
      <c r="F18" s="8">
        <v>0.56999999999999995</v>
      </c>
      <c r="G18" s="7">
        <v>22</v>
      </c>
      <c r="H18" s="7">
        <f t="shared" si="3"/>
        <v>0</v>
      </c>
    </row>
    <row r="19" spans="1:8">
      <c r="A19" s="5">
        <v>7</v>
      </c>
      <c r="B19" s="6">
        <f t="shared" si="0"/>
        <v>2.6457513110645904E-2</v>
      </c>
      <c r="C19" s="7">
        <f t="shared" si="1"/>
        <v>1.8898223650461363</v>
      </c>
      <c r="D19" s="8">
        <v>38.799999999999997</v>
      </c>
      <c r="E19" s="9">
        <f t="shared" si="2"/>
        <v>0.64666666666666661</v>
      </c>
      <c r="F19" s="8">
        <v>0.52</v>
      </c>
      <c r="G19" s="7">
        <v>22</v>
      </c>
      <c r="H19" s="7">
        <f t="shared" si="3"/>
        <v>0</v>
      </c>
    </row>
    <row r="20" spans="1:8">
      <c r="A20" s="5">
        <v>8</v>
      </c>
      <c r="B20" s="6">
        <f t="shared" si="0"/>
        <v>2.8284271247461901E-2</v>
      </c>
      <c r="C20" s="7">
        <f t="shared" si="1"/>
        <v>2.003469213361885</v>
      </c>
      <c r="D20" s="8">
        <v>34</v>
      </c>
      <c r="E20" s="9">
        <f t="shared" si="2"/>
        <v>0.56666666666666665</v>
      </c>
      <c r="F20" s="8">
        <v>0.48</v>
      </c>
      <c r="G20" s="7">
        <v>22</v>
      </c>
      <c r="H20" s="7">
        <f t="shared" si="3"/>
        <v>0</v>
      </c>
    </row>
    <row r="21" spans="1:8">
      <c r="A21" s="5">
        <v>9</v>
      </c>
      <c r="B21" s="6">
        <f t="shared" si="0"/>
        <v>3.0000000000000002E-2</v>
      </c>
      <c r="C21" s="7">
        <f t="shared" si="1"/>
        <v>2.1111111111111112</v>
      </c>
      <c r="D21" s="8">
        <v>30.5</v>
      </c>
      <c r="E21" s="9">
        <f t="shared" si="2"/>
        <v>0.5083333333333333</v>
      </c>
      <c r="F21" s="8">
        <v>0.45</v>
      </c>
      <c r="G21" s="7">
        <v>22</v>
      </c>
      <c r="H21" s="7">
        <f t="shared" si="3"/>
        <v>0</v>
      </c>
    </row>
    <row r="22" spans="1:8">
      <c r="A22" s="5">
        <v>10</v>
      </c>
      <c r="B22" s="6">
        <f t="shared" si="0"/>
        <v>3.1622776601683791E-2</v>
      </c>
      <c r="C22" s="7">
        <f t="shared" si="1"/>
        <v>2.2135943621178655</v>
      </c>
      <c r="D22" s="8">
        <v>27.5</v>
      </c>
      <c r="E22" s="9">
        <f t="shared" si="2"/>
        <v>0.45833333333333331</v>
      </c>
      <c r="F22" s="8">
        <v>0.42</v>
      </c>
      <c r="G22" s="7">
        <v>22</v>
      </c>
      <c r="H22" s="7">
        <f t="shared" si="3"/>
        <v>0</v>
      </c>
    </row>
    <row r="40" spans="1:8" ht="247.2" customHeight="1">
      <c r="A40" s="13" t="s">
        <v>16</v>
      </c>
      <c r="B40" s="13"/>
      <c r="C40" s="13"/>
      <c r="D40" s="13"/>
      <c r="E40" s="13"/>
      <c r="F40" s="13"/>
      <c r="G40" s="13"/>
      <c r="H40" s="13"/>
    </row>
  </sheetData>
  <mergeCells count="3">
    <mergeCell ref="A1:H1"/>
    <mergeCell ref="A10:H10"/>
    <mergeCell ref="A40:H4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K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2026-07-19T08:50:54Z</dcterms:created>
  <dcterms:modified xsi:type="dcterms:W3CDTF">2026-07-19T15:48:03Z</dcterms:modified>
  <dc:language>en-US</dc:language>
</cp:coreProperties>
</file>